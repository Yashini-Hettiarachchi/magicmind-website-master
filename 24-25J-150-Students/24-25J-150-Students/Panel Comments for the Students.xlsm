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mysliit.sharepoint.com/sites/CDAPSubmissionCloud/2425JCloud/24-25J-150-Students/"/>
    </mc:Choice>
  </mc:AlternateContent>
  <xr:revisionPtr revIDLastSave="25" documentId="13_ncr:1_{91F0E378-1919-4A17-9B95-ED9F4D6BCE73}" xr6:coauthVersionLast="47" xr6:coauthVersionMax="47" xr10:uidLastSave="{FC4D1421-1FF1-4720-B506-048B593723FD}"/>
  <bookViews>
    <workbookView xWindow="-120" yWindow="-120" windowWidth="20730" windowHeight="11160" firstSheet="1" activeTab="4" xr2:uid="{00000000-000D-0000-FFFF-FFFF00000000}"/>
  </bookViews>
  <sheets>
    <sheet name="Pro_Presentation" sheetId="8" r:id="rId1"/>
    <sheet name="Prog_Presentation_1" sheetId="19" r:id="rId2"/>
    <sheet name="Prog_Presentation_2" sheetId="17" r:id="rId3"/>
    <sheet name="Final_Presentation" sheetId="18" r:id="rId4"/>
    <sheet name="Final_Viva" sheetId="20" r:id="rId5"/>
  </sheets>
  <externalReferences>
    <externalReference r:id="rId6"/>
  </externalReferences>
  <definedNames>
    <definedName name="east" localSheetId="3">#REF!</definedName>
    <definedName name="east" localSheetId="4">#REF!</definedName>
    <definedName name="east" localSheetId="0">#REF!</definedName>
    <definedName name="east" localSheetId="1">#REF!</definedName>
    <definedName name="east" localSheetId="2">#REF!</definedName>
    <definedName name="east">#REF!</definedName>
    <definedName name="index">#REF!</definedName>
    <definedName name="North_Actual" localSheetId="3">#REF!</definedName>
    <definedName name="North_Actual" localSheetId="4">#REF!</definedName>
    <definedName name="North_Actual" localSheetId="0">#REF!</definedName>
    <definedName name="North_Actual" localSheetId="1">#REF!</definedName>
    <definedName name="North_Actual" localSheetId="2">#REF!</definedName>
    <definedName name="North_Actual">#REF!</definedName>
    <definedName name="North_Budget" localSheetId="3">Final_Presentation!$C$2</definedName>
    <definedName name="North_Budget" localSheetId="4">Final_Viva!$C$2</definedName>
    <definedName name="North_Budget" localSheetId="0">Pro_Presentation!$C$2</definedName>
    <definedName name="North_Budget" localSheetId="1">Prog_Presentation_1!$C$2</definedName>
    <definedName name="North_Budget" localSheetId="2">Prog_Presentation_2!$C$2</definedName>
    <definedName name="North_Budget">#REF!</definedName>
    <definedName name="South_Actual" localSheetId="3">#REF!</definedName>
    <definedName name="South_Actual" localSheetId="4">#REF!</definedName>
    <definedName name="South_Actual" localSheetId="0">#REF!</definedName>
    <definedName name="South_Actual" localSheetId="1">#REF!</definedName>
    <definedName name="South_Actual" localSheetId="2">#REF!</definedName>
    <definedName name="South_Actual">#REF!</definedName>
    <definedName name="South_Budget" localSheetId="3">#REF!</definedName>
    <definedName name="South_Budget" localSheetId="4">#REF!</definedName>
    <definedName name="South_Budget" localSheetId="0">#REF!</definedName>
    <definedName name="South_Budget" localSheetId="1">#REF!</definedName>
    <definedName name="South_Budget" localSheetId="2">#REF!</definedName>
    <definedName name="South_Budget">#REF!</definedName>
    <definedName name="west" localSheetId="3">#REF!</definedName>
    <definedName name="west" localSheetId="4">#REF!</definedName>
    <definedName name="west" localSheetId="0">#REF!</definedName>
    <definedName name="west" localSheetId="1">#REF!</definedName>
    <definedName name="west" localSheetId="2">#REF!</definedName>
    <definedName name="west">#REF!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20" l="1"/>
  <c r="F7" i="20"/>
  <c r="E7" i="20"/>
  <c r="D7" i="20"/>
  <c r="G7" i="18"/>
  <c r="F7" i="18"/>
  <c r="E7" i="18"/>
  <c r="D7" i="18"/>
  <c r="G7" i="17"/>
  <c r="F7" i="17"/>
  <c r="E7" i="17"/>
  <c r="D7" i="17"/>
  <c r="G7" i="19"/>
  <c r="F7" i="19"/>
  <c r="E7" i="19"/>
  <c r="D7" i="19"/>
</calcChain>
</file>

<file path=xl/sharedStrings.xml><?xml version="1.0" encoding="utf-8"?>
<sst xmlns="http://schemas.openxmlformats.org/spreadsheetml/2006/main" count="74" uniqueCount="18">
  <si>
    <t>Project ID</t>
  </si>
  <si>
    <t>Student ID</t>
  </si>
  <si>
    <t>PanelName</t>
  </si>
  <si>
    <t xml:space="preserve"> Detailed Comments</t>
  </si>
  <si>
    <t>Topic</t>
  </si>
  <si>
    <t>Specialization</t>
  </si>
  <si>
    <t>Mobile Application to Nonverbal Learning Disability (NVLD) children.</t>
  </si>
  <si>
    <t>24-25J-150</t>
  </si>
  <si>
    <t>IT</t>
  </si>
  <si>
    <t>IT21175466</t>
  </si>
  <si>
    <t>IT21207136</t>
  </si>
  <si>
    <t>IT21181474</t>
  </si>
  <si>
    <t>IT21181788</t>
  </si>
  <si>
    <t>IT-P04</t>
  </si>
  <si>
    <t>Need to give few prior levels/chances to the user before reducing the complexity of the given exercise. Need to identify the novelty of the component. Need to give a logical explaination of  the purpose of uploading the image by the user</t>
  </si>
  <si>
    <t>Need to give a logical explaination of  the purpose of uploading the image by the user. There should be more than one question generated from the uploaded image. Identify the proper technology to generate the questions observing the image</t>
  </si>
  <si>
    <t>No point of developing a spell checker since they are already availabel. Use spell checker API and try to add more interactive exercises and monitor the progress of the child</t>
  </si>
  <si>
    <t>Add more interactive exercises and monitor the progress of the child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</si>
</sst>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ont>
    <font>
      <sz val="11"/>
      <color theme="1"/>
      <name val="Calibri"/>
      <family val="2"/>
      <scheme val="minor"/>
    </font>
    <font>
      <b/>
      <sz val="13"/>
      <color theme="1"/>
      <name val="Times New Roman"/>
      <family val="1"/>
    </font>
    <font>
      <b/>
      <sz val="14"/>
      <color theme="8" tint="-0.249977111117893"/>
      <name val="Calibri"/>
      <family val="2"/>
      <scheme val="minor"/>
    </font>
    <font>
      <sz val="12"/>
      <color rgb="FF002060"/>
      <name val="Calibri"/>
      <family val="2"/>
      <scheme val="minor"/>
    </font>
    <font>
      <b/>
      <sz val="12"/>
      <color rgb="FF002060"/>
      <name val="Calibri"/>
      <family val="2"/>
      <scheme val="minor"/>
    </font>
  </fonts>
  <fills count="4">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s>
  <borders count="12">
    <border>
      <left/>
      <right/>
      <top/>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1"/>
  </cellStyleXfs>
  <cellXfs count="17">
    <xf numFmtId="0" fontId="0" fillId="0" borderId="0" xfId="0"/>
    <xf numFmtId="0" fontId="1" fillId="0" borderId="1" xfId="1"/>
    <xf numFmtId="0" fontId="2" fillId="0" borderId="3" xfId="1" applyFont="1" applyBorder="1" applyAlignment="1">
      <alignment horizontal="right" vertical="center"/>
    </xf>
    <xf numFmtId="0" fontId="2" fillId="0" borderId="4" xfId="1" applyFont="1" applyBorder="1" applyAlignment="1">
      <alignment horizontal="right" vertical="center"/>
    </xf>
    <xf numFmtId="0" fontId="2" fillId="0" borderId="4" xfId="1" applyFont="1" applyBorder="1" applyAlignment="1" applyProtection="1">
      <alignment horizontal="right" vertical="center"/>
      <protection locked="0"/>
    </xf>
    <xf numFmtId="0" fontId="5" fillId="2" borderId="2" xfId="1" applyFont="1" applyFill="1" applyBorder="1" applyAlignment="1" applyProtection="1">
      <alignment horizontal="center" vertical="center" wrapText="1"/>
      <protection locked="0"/>
    </xf>
    <xf numFmtId="0" fontId="2" fillId="3" borderId="4" xfId="1" applyFont="1" applyFill="1" applyBorder="1" applyAlignment="1">
      <alignment horizontal="right" vertical="center" wrapText="1"/>
    </xf>
    <xf numFmtId="0" fontId="4" fillId="3" borderId="2" xfId="1" applyFont="1" applyFill="1" applyBorder="1" applyAlignment="1" applyProtection="1">
      <alignment horizontal="center" vertical="center" wrapText="1"/>
      <protection locked="0"/>
    </xf>
    <xf numFmtId="0" fontId="4" fillId="3" borderId="5" xfId="1" applyFont="1" applyFill="1" applyBorder="1" applyAlignment="1" applyProtection="1">
      <alignment horizontal="center" vertical="center" wrapText="1"/>
      <protection locked="0"/>
    </xf>
    <xf numFmtId="0" fontId="3" fillId="0" borderId="9" xfId="1" applyFont="1" applyBorder="1" applyAlignment="1">
      <alignment horizontal="center" vertical="center" wrapText="1"/>
    </xf>
    <xf numFmtId="0" fontId="3" fillId="0" borderId="10" xfId="1" applyFont="1" applyBorder="1" applyAlignment="1">
      <alignment horizontal="center" vertical="center" wrapText="1"/>
    </xf>
    <xf numFmtId="0" fontId="3" fillId="0" borderId="11" xfId="1" applyFont="1" applyBorder="1" applyAlignment="1">
      <alignment horizontal="center" vertical="center" wrapText="1"/>
    </xf>
    <xf numFmtId="0" fontId="5" fillId="2" borderId="6" xfId="1" applyFont="1" applyFill="1" applyBorder="1" applyAlignment="1" applyProtection="1">
      <alignment horizontal="center" vertical="center" wrapText="1"/>
      <protection locked="0"/>
    </xf>
    <xf numFmtId="0" fontId="5" fillId="2" borderId="7" xfId="1" applyFont="1" applyFill="1" applyBorder="1" applyAlignment="1" applyProtection="1">
      <alignment horizontal="center" vertical="center" wrapText="1"/>
      <protection locked="0"/>
    </xf>
    <xf numFmtId="0" fontId="5" fillId="2" borderId="8" xfId="1" applyFont="1" applyFill="1" applyBorder="1" applyAlignment="1" applyProtection="1">
      <alignment horizontal="center" vertical="center" wrapText="1"/>
      <protection locked="0"/>
    </xf>
    <xf numFmtId="0" fontId="3" fillId="0" borderId="2" xfId="1" applyFont="1" applyBorder="1" applyAlignment="1">
      <alignment horizontal="center" vertical="center" wrapText="1"/>
    </xf>
    <xf numFmtId="0" fontId="3" fillId="0" borderId="5" xfId="1" applyFont="1" applyBorder="1" applyAlignment="1">
      <alignment horizontal="center" vertical="center" wrapText="1"/>
    </xf>
  </cellXfs>
  <cellStyles count="2">
    <cellStyle name="Normal" xfId="0" builtinId="0"/>
    <cellStyle name="Normal 2" xfId="1" xr:uid="{00000000-0005-0000-0000-000001000000}"/>
  </cellStyles>
  <dxfs count="35">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s>
  <tableStyles count="0" defaultTableStyle="TableStyleMedium2" defaultPivotStyle="PivotStyleLight16"/>
  <colors>
    <mruColors>
      <color rgb="FF89BF65"/>
      <color rgb="FFCFC507"/>
      <color rgb="FFD9D9D9"/>
      <color rgb="FFFCE4D6"/>
      <color rgb="FFFFF2CC"/>
      <color rgb="FFC6E0B4"/>
      <color rgb="FFBDD7EE"/>
      <color rgb="FFE7F8FD"/>
      <color rgb="FFEEC2EC"/>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mysliit.sharepoint.com/sites/CDAPSubmissionCloud/2425JCloud/Panel%20Sheets/IT-P04/IT%20-%20P04.xlsm" TargetMode="External"/><Relationship Id="rId1" Type="http://schemas.openxmlformats.org/officeDocument/2006/relationships/externalLinkPath" Target="/sites/CDAPSubmissionCloud/2425JCloud/Panel%20Sheets/IT-P04/IT%20-%20P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_Present"/>
      <sheetName val="Prog_Rev_1"/>
      <sheetName val="Prog_Rev_2"/>
      <sheetName val="Fina_Present"/>
      <sheetName val="VIVA"/>
    </sheetNames>
    <sheetDataSet>
      <sheetData sheetId="0"/>
      <sheetData sheetId="1">
        <row r="40">
          <cell r="K40" t="str">
            <v>It is better to have a vedio or audio instruction based demostration of the steps to be followed. You should analyze the students progress and create the quiz dynamically.</v>
          </cell>
          <cell r="L40" t="str">
            <v>The implementation of prepositions has been done in the same object, which has to be modified from time to time. You should analyze the students progress and create the quiz dynamically.</v>
          </cell>
          <cell r="M40" t="str">
            <v>Questions hasve to be shuffled and dynamically generated. The number of questions for a level should be like 15-20. You should analyze the students progress and create the quiz dynamically.</v>
          </cell>
          <cell r="N40" t="str">
            <v xml:space="preserve">The number of questions for a level should be increased. Model training should be done with maultiple modelsand then compare. </v>
          </cell>
        </row>
      </sheetData>
      <sheetData sheetId="2"/>
      <sheetData sheetId="3"/>
      <sheetData sheetId="4"/>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G7"/>
  <sheetViews>
    <sheetView showGridLines="0" topLeftCell="B1" zoomScale="62" zoomScaleNormal="62" workbookViewId="0">
      <selection activeCell="E24" sqref="E24"/>
    </sheetView>
  </sheetViews>
  <sheetFormatPr defaultColWidth="9" defaultRowHeight="15" x14ac:dyDescent="0.2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125" style="1" customWidth="1"/>
    <col min="10" max="16384" width="9" style="1"/>
  </cols>
  <sheetData>
    <row r="1" spans="3:7" ht="19.149999999999999" customHeight="1" thickBot="1" x14ac:dyDescent="0.3"/>
    <row r="2" spans="3:7" ht="20.25" customHeight="1" thickBot="1" x14ac:dyDescent="0.3">
      <c r="C2" s="2" t="s">
        <v>4</v>
      </c>
      <c r="D2" s="12" t="s">
        <v>6</v>
      </c>
      <c r="E2" s="13"/>
      <c r="F2" s="13"/>
      <c r="G2" s="14"/>
    </row>
    <row r="3" spans="3:7" ht="20.25" customHeight="1" x14ac:dyDescent="0.25">
      <c r="C3" s="2" t="s">
        <v>0</v>
      </c>
      <c r="D3" s="12" t="s">
        <v>7</v>
      </c>
      <c r="E3" s="13"/>
      <c r="F3" s="13"/>
      <c r="G3" s="14"/>
    </row>
    <row r="4" spans="3:7" ht="20.25" customHeight="1" x14ac:dyDescent="0.25">
      <c r="C4" s="4" t="s">
        <v>5</v>
      </c>
      <c r="D4" s="9" t="s">
        <v>8</v>
      </c>
      <c r="E4" s="10"/>
      <c r="F4" s="10"/>
      <c r="G4" s="11"/>
    </row>
    <row r="5" spans="3:7" ht="20.45" customHeight="1" x14ac:dyDescent="0.25">
      <c r="C5" s="3" t="s">
        <v>1</v>
      </c>
      <c r="D5" s="5" t="s">
        <v>9</v>
      </c>
      <c r="E5" s="5" t="s">
        <v>10</v>
      </c>
      <c r="F5" s="5" t="s">
        <v>11</v>
      </c>
      <c r="G5" s="5" t="s">
        <v>12</v>
      </c>
    </row>
    <row r="6" spans="3:7" ht="18.75" x14ac:dyDescent="0.25">
      <c r="C6" s="3" t="s">
        <v>2</v>
      </c>
      <c r="D6" s="15" t="s">
        <v>13</v>
      </c>
      <c r="E6" s="15"/>
      <c r="F6" s="15"/>
      <c r="G6" s="16"/>
    </row>
    <row r="7" spans="3:7" ht="186" customHeight="1" x14ac:dyDescent="0.25">
      <c r="C7" s="6" t="s">
        <v>3</v>
      </c>
      <c r="D7" s="7" t="s">
        <v>14</v>
      </c>
      <c r="E7" s="7" t="s">
        <v>15</v>
      </c>
      <c r="F7" s="7" t="s">
        <v>16</v>
      </c>
      <c r="G7" s="8" t="s">
        <v>17</v>
      </c>
    </row>
  </sheetData>
  <sheetProtection algorithmName="SHA-512" hashValue="MOIUpgYggdhaYKHZ0dDTW3KDdYlYffWMrYNxPmhqpqYpdtav9UH8ILflatE/56EvLSF3+Jlvx8GK6imotJmO3w==" saltValue="0653500lUkSvS75K74yO1g==" spinCount="100000" sheet="1" selectLockedCells="1" selectUnlockedCells="1"/>
  <mergeCells count="4">
    <mergeCell ref="D4:G4"/>
    <mergeCell ref="D2:G2"/>
    <mergeCell ref="D3:G3"/>
    <mergeCell ref="D6:G6"/>
  </mergeCells>
  <conditionalFormatting sqref="D5:G5 D2:G3">
    <cfRule type="expression" dxfId="34" priority="160">
      <formula>FIND("IM",#REF!)</formula>
    </cfRule>
    <cfRule type="expression" dxfId="33" priority="161">
      <formula>FIND("CS",#REF!)</formula>
    </cfRule>
    <cfRule type="expression" dxfId="32" priority="162">
      <formula>FIND("ISE",#REF!)</formula>
    </cfRule>
    <cfRule type="expression" dxfId="31" priority="163">
      <formula>FIND("CSN",#REF!)</formula>
    </cfRule>
    <cfRule type="expression" dxfId="30" priority="164">
      <formula>FIND("DS",#REF!)</formula>
    </cfRule>
    <cfRule type="expression" dxfId="29" priority="165">
      <formula>FIND("IT",#REF!)</formula>
    </cfRule>
    <cfRule type="expression" dxfId="28" priority="166">
      <formula>FIND("SE",#REF!)</formula>
    </cfRule>
  </conditionalFormatting>
  <dataValidations count="1">
    <dataValidation type="list" allowBlank="1" showInputMessage="1" showErrorMessage="1" sqref="D4" xr:uid="{39221671-9968-457D-8EAD-66A569D8B9FB}">
      <formula1>"Select,SE,IT,DS,CSN,ISE,CS,IM"</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C1F9-517D-4136-BD40-903B5BA9503B}">
  <sheetPr codeName="Sheet5"/>
  <dimension ref="C1:G7"/>
  <sheetViews>
    <sheetView showGridLines="0" zoomScale="80" zoomScaleNormal="80" workbookViewId="0">
      <selection activeCell="D2" sqref="D2:G2"/>
    </sheetView>
  </sheetViews>
  <sheetFormatPr defaultColWidth="9" defaultRowHeight="15" x14ac:dyDescent="0.2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125" style="1" customWidth="1"/>
    <col min="10" max="16384" width="9" style="1"/>
  </cols>
  <sheetData>
    <row r="1" spans="3:7" ht="19.149999999999999" customHeight="1" thickBot="1" x14ac:dyDescent="0.3"/>
    <row r="2" spans="3:7" ht="20.25" customHeight="1" thickBot="1" x14ac:dyDescent="0.3">
      <c r="C2" s="2" t="s">
        <v>4</v>
      </c>
      <c r="D2" s="12" t="s">
        <v>6</v>
      </c>
      <c r="E2" s="13"/>
      <c r="F2" s="13"/>
      <c r="G2" s="14"/>
    </row>
    <row r="3" spans="3:7" ht="20.25" customHeight="1" x14ac:dyDescent="0.25">
      <c r="C3" s="2" t="s">
        <v>0</v>
      </c>
      <c r="D3" s="12" t="s">
        <v>7</v>
      </c>
      <c r="E3" s="13"/>
      <c r="F3" s="13"/>
      <c r="G3" s="14"/>
    </row>
    <row r="4" spans="3:7" ht="20.25" customHeight="1" x14ac:dyDescent="0.25">
      <c r="C4" s="4" t="s">
        <v>5</v>
      </c>
      <c r="D4" s="9" t="s">
        <v>8</v>
      </c>
      <c r="E4" s="10"/>
      <c r="F4" s="10"/>
      <c r="G4" s="11"/>
    </row>
    <row r="5" spans="3:7" ht="20.45" customHeight="1" x14ac:dyDescent="0.25">
      <c r="C5" s="3" t="s">
        <v>1</v>
      </c>
      <c r="D5" s="5" t="s">
        <v>9</v>
      </c>
      <c r="E5" s="5" t="s">
        <v>10</v>
      </c>
      <c r="F5" s="5" t="s">
        <v>11</v>
      </c>
      <c r="G5" s="5" t="s">
        <v>12</v>
      </c>
    </row>
    <row r="6" spans="3:7" ht="18.75" x14ac:dyDescent="0.25">
      <c r="C6" s="3" t="s">
        <v>2</v>
      </c>
      <c r="D6" s="15" t="s">
        <v>13</v>
      </c>
      <c r="E6" s="15"/>
      <c r="F6" s="15"/>
      <c r="G6" s="16"/>
    </row>
    <row r="7" spans="3:7" ht="189" customHeight="1" x14ac:dyDescent="0.25">
      <c r="C7" s="6" t="s">
        <v>3</v>
      </c>
      <c r="D7" s="7" t="str">
        <f>VLOOKUP([1]Prog_Rev_1!$K$40,[1]Prog_Rev_1!$K$40:$N$40,1,FALSE)</f>
        <v>It is better to have a vedio or audio instruction based demostration of the steps to be followed. You should analyze the students progress and create the quiz dynamically.</v>
      </c>
      <c r="E7" s="7" t="str">
        <f>VLOOKUP([1]Prog_Rev_1!$L$40,[1]Prog_Rev_1!$L$40:$N$40,1,FALSE)</f>
        <v>The implementation of prepositions has been done in the same object, which has to be modified from time to time. You should analyze the students progress and create the quiz dynamically.</v>
      </c>
      <c r="F7" s="7" t="str">
        <f>VLOOKUP([1]Prog_Rev_1!$M$40,[1]Prog_Rev_1!$M$40:$N$40,1,FALSE)</f>
        <v>Questions hasve to be shuffled and dynamically generated. The number of questions for a level should be like 15-20. You should analyze the students progress and create the quiz dynamically.</v>
      </c>
      <c r="G7" s="7" t="str">
        <f>VLOOKUP([1]Prog_Rev_1!$N$40,[1]Prog_Rev_1!$N$40:$N$40,1,FALSE)</f>
        <v xml:space="preserve">The number of questions for a level should be increased. Model training should be done with maultiple modelsand then compare. </v>
      </c>
    </row>
  </sheetData>
  <sheetProtection algorithmName="SHA-512" hashValue="WTLgytcvdc7Zg1wd8qWwM40ypa9FmGEMbexlctnvGSKUQLrlWeycOqgV1BI3X+/g29IvsO9tVhV6zb52kU0R7Q==" saltValue="THiLnFB7UKB6lEL+8Ucc+Q==" spinCount="100000" sheet="1" selectLockedCells="1"/>
  <mergeCells count="4">
    <mergeCell ref="D2:G2"/>
    <mergeCell ref="D3:G3"/>
    <mergeCell ref="D4:G4"/>
    <mergeCell ref="D6:G6"/>
  </mergeCells>
  <conditionalFormatting sqref="D5:G5 D2:G3">
    <cfRule type="expression" dxfId="27" priority="1">
      <formula>FIND("IM",#REF!)</formula>
    </cfRule>
    <cfRule type="expression" dxfId="26" priority="2">
      <formula>FIND("CS",#REF!)</formula>
    </cfRule>
    <cfRule type="expression" dxfId="25" priority="3">
      <formula>FIND("ISE",#REF!)</formula>
    </cfRule>
    <cfRule type="expression" dxfId="24" priority="4">
      <formula>FIND("CSN",#REF!)</formula>
    </cfRule>
    <cfRule type="expression" dxfId="23" priority="5">
      <formula>FIND("DS",#REF!)</formula>
    </cfRule>
    <cfRule type="expression" dxfId="22" priority="6">
      <formula>FIND("IT",#REF!)</formula>
    </cfRule>
    <cfRule type="expression" dxfId="21" priority="7">
      <formula>FIND("SE",#REF!)</formula>
    </cfRule>
  </conditionalFormatting>
  <dataValidations count="1">
    <dataValidation type="list" allowBlank="1" showInputMessage="1" showErrorMessage="1" sqref="D4" xr:uid="{86D67E19-4A7E-49B5-A70A-E8789D259753}">
      <formula1>"Select,SE,IT,DS,CSN,ISE,CS,IM"</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83A89-3295-47AE-99E9-C8793BFC4C28}">
  <sheetPr codeName="Sheet3"/>
  <dimension ref="C1:G7"/>
  <sheetViews>
    <sheetView showGridLines="0" zoomScale="80" zoomScaleNormal="80" workbookViewId="0">
      <selection activeCell="D2" sqref="D2:G2"/>
    </sheetView>
  </sheetViews>
  <sheetFormatPr defaultColWidth="9" defaultRowHeight="15" x14ac:dyDescent="0.2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125" style="1" customWidth="1"/>
    <col min="10" max="16384" width="9" style="1"/>
  </cols>
  <sheetData>
    <row r="1" spans="3:7" ht="19.149999999999999" customHeight="1" thickBot="1" x14ac:dyDescent="0.3"/>
    <row r="2" spans="3:7" ht="20.25" customHeight="1" thickBot="1" x14ac:dyDescent="0.3">
      <c r="C2" s="2" t="s">
        <v>4</v>
      </c>
      <c r="D2" s="12" t="s">
        <v>6</v>
      </c>
      <c r="E2" s="13"/>
      <c r="F2" s="13"/>
      <c r="G2" s="14"/>
    </row>
    <row r="3" spans="3:7" ht="20.25" customHeight="1" x14ac:dyDescent="0.25">
      <c r="C3" s="2" t="s">
        <v>0</v>
      </c>
      <c r="D3" s="12" t="s">
        <v>7</v>
      </c>
      <c r="E3" s="13"/>
      <c r="F3" s="13"/>
      <c r="G3" s="14"/>
    </row>
    <row r="4" spans="3:7" ht="20.25" customHeight="1" x14ac:dyDescent="0.25">
      <c r="C4" s="4" t="s">
        <v>5</v>
      </c>
      <c r="D4" s="9" t="s">
        <v>8</v>
      </c>
      <c r="E4" s="10"/>
      <c r="F4" s="10"/>
      <c r="G4" s="11"/>
    </row>
    <row r="5" spans="3:7" ht="20.45" customHeight="1" x14ac:dyDescent="0.25">
      <c r="C5" s="3" t="s">
        <v>1</v>
      </c>
      <c r="D5" s="5" t="s">
        <v>9</v>
      </c>
      <c r="E5" s="5" t="s">
        <v>10</v>
      </c>
      <c r="F5" s="5" t="s">
        <v>11</v>
      </c>
      <c r="G5" s="5" t="s">
        <v>12</v>
      </c>
    </row>
    <row r="6" spans="3:7" ht="18.75" x14ac:dyDescent="0.25">
      <c r="C6" s="3" t="s">
        <v>2</v>
      </c>
      <c r="D6" s="15" t="s">
        <v>13</v>
      </c>
      <c r="E6" s="15"/>
      <c r="F6" s="15"/>
      <c r="G6" s="16"/>
    </row>
    <row r="7" spans="3:7" ht="181.5" customHeight="1" x14ac:dyDescent="0.25">
      <c r="C7" s="6" t="s">
        <v>3</v>
      </c>
      <c r="D7" s="7" t="e">
        <f>VLOOKUP([1]Prog_Rev_2!$K$41,[1]Prog_Rev_2!$K$41:$N$41,1,FALSE)</f>
        <v>#N/A</v>
      </c>
      <c r="E7" s="7" t="e">
        <f>VLOOKUP([1]Prog_Rev_2!$L$41,[1]Prog_Rev_2!$L$41:$N$41,1,FALSE)</f>
        <v>#N/A</v>
      </c>
      <c r="F7" s="7" t="e">
        <f>VLOOKUP([1]Prog_Rev_2!$M$41,[1]Prog_Rev_2!$M$41:$N$41,1,FALSE)</f>
        <v>#N/A</v>
      </c>
      <c r="G7" s="7" t="e">
        <f>VLOOKUP([1]Prog_Rev_2!$N$41,[1]Prog_Rev_2!$N$41:$N$41,1,FALSE)</f>
        <v>#N/A</v>
      </c>
    </row>
  </sheetData>
  <sheetProtection algorithmName="SHA-512" hashValue="jz06f7t4cJCnZ2Mq2OAsBId5LHhAFO/RXIVo66cvfdMl8rgA+ZTGA/olayYN1XZxg9y1plxOv7e1zMfev28vHA==" saltValue="omdxXy4mOWggYdxURUGQEQ==" spinCount="100000" sheet="1" selectLockedCells="1"/>
  <mergeCells count="4">
    <mergeCell ref="D2:G2"/>
    <mergeCell ref="D3:G3"/>
    <mergeCell ref="D4:G4"/>
    <mergeCell ref="D6:G6"/>
  </mergeCells>
  <conditionalFormatting sqref="D5:G5 D2:G3">
    <cfRule type="expression" dxfId="20" priority="1">
      <formula>FIND("IM",#REF!)</formula>
    </cfRule>
    <cfRule type="expression" dxfId="19" priority="2">
      <formula>FIND("CS",#REF!)</formula>
    </cfRule>
    <cfRule type="expression" dxfId="18" priority="3">
      <formula>FIND("ISE",#REF!)</formula>
    </cfRule>
    <cfRule type="expression" dxfId="17" priority="4">
      <formula>FIND("CSN",#REF!)</formula>
    </cfRule>
    <cfRule type="expression" dxfId="16" priority="5">
      <formula>FIND("DS",#REF!)</formula>
    </cfRule>
    <cfRule type="expression" dxfId="15" priority="6">
      <formula>FIND("IT",#REF!)</formula>
    </cfRule>
    <cfRule type="expression" dxfId="14" priority="7">
      <formula>FIND("SE",#REF!)</formula>
    </cfRule>
  </conditionalFormatting>
  <dataValidations count="1">
    <dataValidation type="list" allowBlank="1" showInputMessage="1" showErrorMessage="1" sqref="D4" xr:uid="{8CB58F37-666A-47CF-B3CB-FBE377F9B1E3}">
      <formula1>"Select,SE,IT,DS,CSN,ISE,CS,IM"</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AB75A-113B-4F4D-A454-595F9724FC91}">
  <sheetPr codeName="Sheet4"/>
  <dimension ref="C1:G7"/>
  <sheetViews>
    <sheetView showGridLines="0" topLeftCell="A2" zoomScale="80" zoomScaleNormal="80" workbookViewId="0">
      <selection activeCell="D2" sqref="D2:G2"/>
    </sheetView>
  </sheetViews>
  <sheetFormatPr defaultColWidth="9" defaultRowHeight="15" x14ac:dyDescent="0.2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125" style="1" customWidth="1"/>
    <col min="10" max="16384" width="9" style="1"/>
  </cols>
  <sheetData>
    <row r="1" spans="3:7" ht="19.149999999999999" customHeight="1" thickBot="1" x14ac:dyDescent="0.3"/>
    <row r="2" spans="3:7" ht="20.25" customHeight="1" thickBot="1" x14ac:dyDescent="0.3">
      <c r="C2" s="2" t="s">
        <v>4</v>
      </c>
      <c r="D2" s="12" t="s">
        <v>6</v>
      </c>
      <c r="E2" s="13"/>
      <c r="F2" s="13"/>
      <c r="G2" s="14"/>
    </row>
    <row r="3" spans="3:7" ht="20.25" customHeight="1" x14ac:dyDescent="0.25">
      <c r="C3" s="2" t="s">
        <v>0</v>
      </c>
      <c r="D3" s="12" t="s">
        <v>7</v>
      </c>
      <c r="E3" s="13"/>
      <c r="F3" s="13"/>
      <c r="G3" s="14"/>
    </row>
    <row r="4" spans="3:7" ht="20.25" customHeight="1" x14ac:dyDescent="0.25">
      <c r="C4" s="4" t="s">
        <v>5</v>
      </c>
      <c r="D4" s="9" t="s">
        <v>8</v>
      </c>
      <c r="E4" s="10"/>
      <c r="F4" s="10"/>
      <c r="G4" s="11"/>
    </row>
    <row r="5" spans="3:7" ht="20.45" customHeight="1" x14ac:dyDescent="0.25">
      <c r="C5" s="3" t="s">
        <v>1</v>
      </c>
      <c r="D5" s="5" t="s">
        <v>9</v>
      </c>
      <c r="E5" s="5" t="s">
        <v>10</v>
      </c>
      <c r="F5" s="5" t="s">
        <v>11</v>
      </c>
      <c r="G5" s="5" t="s">
        <v>12</v>
      </c>
    </row>
    <row r="6" spans="3:7" ht="18.75" x14ac:dyDescent="0.25">
      <c r="C6" s="3" t="s">
        <v>2</v>
      </c>
      <c r="D6" s="15" t="s">
        <v>13</v>
      </c>
      <c r="E6" s="15"/>
      <c r="F6" s="15"/>
      <c r="G6" s="16"/>
    </row>
    <row r="7" spans="3:7" ht="193.5" customHeight="1" x14ac:dyDescent="0.25">
      <c r="C7" s="6" t="s">
        <v>3</v>
      </c>
      <c r="D7" s="7" t="e">
        <f>VLOOKUP([1]Fina_Present!$K$40,[1]Fina_Present!$K$40:$N$40,1,FALSE)</f>
        <v>#N/A</v>
      </c>
      <c r="E7" s="7" t="e">
        <f>VLOOKUP([1]Fina_Present!$L$40,[1]Fina_Present!$L$40:$N$40,1,FALSE)</f>
        <v>#N/A</v>
      </c>
      <c r="F7" s="7" t="e">
        <f>VLOOKUP([1]Fina_Present!$M$40,[1]Fina_Present!$M$40:$N$40,1,FALSE)</f>
        <v>#N/A</v>
      </c>
      <c r="G7" s="7" t="e">
        <f>VLOOKUP([1]Fina_Present!$N$40,[1]Fina_Present!$N$40:$N$40,1,FALSE)</f>
        <v>#N/A</v>
      </c>
    </row>
  </sheetData>
  <sheetProtection algorithmName="SHA-512" hashValue="OraIGoJTm+iRuUhnEScjpi1/PdxYn83D0V+iVaLReTj61C24x/w1vs+AowImRA13UwGBM8O8Mt4ATjB2wepCQw==" saltValue="dAe4mgKFE5jh1dAaCmYAdg==" spinCount="100000" sheet="1" selectLockedCells="1"/>
  <mergeCells count="4">
    <mergeCell ref="D2:G2"/>
    <mergeCell ref="D3:G3"/>
    <mergeCell ref="D4:G4"/>
    <mergeCell ref="D6:G6"/>
  </mergeCells>
  <conditionalFormatting sqref="D5:G5 D2:G3">
    <cfRule type="expression" dxfId="13" priority="1">
      <formula>FIND("IM",#REF!)</formula>
    </cfRule>
    <cfRule type="expression" dxfId="12" priority="2">
      <formula>FIND("CS",#REF!)</formula>
    </cfRule>
    <cfRule type="expression" dxfId="11" priority="3">
      <formula>FIND("ISE",#REF!)</formula>
    </cfRule>
    <cfRule type="expression" dxfId="10" priority="4">
      <formula>FIND("CSN",#REF!)</formula>
    </cfRule>
    <cfRule type="expression" dxfId="9" priority="5">
      <formula>FIND("DS",#REF!)</formula>
    </cfRule>
    <cfRule type="expression" dxfId="8" priority="6">
      <formula>FIND("IT",#REF!)</formula>
    </cfRule>
    <cfRule type="expression" dxfId="7" priority="7">
      <formula>FIND("SE",#REF!)</formula>
    </cfRule>
  </conditionalFormatting>
  <dataValidations count="1">
    <dataValidation type="list" allowBlank="1" showInputMessage="1" showErrorMessage="1" sqref="D4" xr:uid="{1826A0FB-C080-4EF9-A9B8-50AE11CD1973}">
      <formula1>"Select,SE,IT,DS,CSN,ISE,CS,IM"</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80156-A246-4A38-AB8B-58BA3B5E5369}">
  <sheetPr codeName="Sheet6"/>
  <dimension ref="C1:G7"/>
  <sheetViews>
    <sheetView showGridLines="0" tabSelected="1" zoomScale="80" zoomScaleNormal="80" workbookViewId="0">
      <selection activeCell="D2" sqref="D2:G2"/>
    </sheetView>
  </sheetViews>
  <sheetFormatPr defaultColWidth="9" defaultRowHeight="15" x14ac:dyDescent="0.2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125" style="1" customWidth="1"/>
    <col min="10" max="16384" width="9" style="1"/>
  </cols>
  <sheetData>
    <row r="1" spans="3:7" ht="19.149999999999999" customHeight="1" thickBot="1" x14ac:dyDescent="0.3"/>
    <row r="2" spans="3:7" ht="20.25" customHeight="1" thickBot="1" x14ac:dyDescent="0.3">
      <c r="C2" s="2" t="s">
        <v>4</v>
      </c>
      <c r="D2" s="12" t="s">
        <v>6</v>
      </c>
      <c r="E2" s="13"/>
      <c r="F2" s="13"/>
      <c r="G2" s="14"/>
    </row>
    <row r="3" spans="3:7" ht="20.25" customHeight="1" x14ac:dyDescent="0.25">
      <c r="C3" s="2" t="s">
        <v>0</v>
      </c>
      <c r="D3" s="12" t="s">
        <v>7</v>
      </c>
      <c r="E3" s="13"/>
      <c r="F3" s="13"/>
      <c r="G3" s="14"/>
    </row>
    <row r="4" spans="3:7" ht="20.25" customHeight="1" x14ac:dyDescent="0.25">
      <c r="C4" s="4" t="s">
        <v>5</v>
      </c>
      <c r="D4" s="9" t="s">
        <v>8</v>
      </c>
      <c r="E4" s="10"/>
      <c r="F4" s="10"/>
      <c r="G4" s="11"/>
    </row>
    <row r="5" spans="3:7" ht="20.45" customHeight="1" x14ac:dyDescent="0.25">
      <c r="C5" s="3" t="s">
        <v>1</v>
      </c>
      <c r="D5" s="5" t="s">
        <v>9</v>
      </c>
      <c r="E5" s="5" t="s">
        <v>10</v>
      </c>
      <c r="F5" s="5" t="s">
        <v>11</v>
      </c>
      <c r="G5" s="5" t="s">
        <v>12</v>
      </c>
    </row>
    <row r="6" spans="3:7" ht="18.75" x14ac:dyDescent="0.25">
      <c r="C6" s="3" t="s">
        <v>2</v>
      </c>
      <c r="D6" s="15" t="s">
        <v>13</v>
      </c>
      <c r="E6" s="15"/>
      <c r="F6" s="15"/>
      <c r="G6" s="16"/>
    </row>
    <row r="7" spans="3:7" ht="183" customHeight="1" x14ac:dyDescent="0.25">
      <c r="C7" s="6" t="s">
        <v>3</v>
      </c>
      <c r="D7" s="7" t="e">
        <f>VLOOKUP([1]VIVA!$K$34,[1]VIVA!$K$34:$N$34,1,FALSE)</f>
        <v>#N/A</v>
      </c>
      <c r="E7" s="7" t="e">
        <f>VLOOKUP([1]VIVA!$L$34,[1]VIVA!$L$34:$N$34,1,FALSE)</f>
        <v>#N/A</v>
      </c>
      <c r="F7" s="7" t="e">
        <f>VLOOKUP([1]VIVA!$M$34,[1]VIVA!$M$34:$N$34,1,FALSE)</f>
        <v>#N/A</v>
      </c>
      <c r="G7" s="7" t="e">
        <f>VLOOKUP([1]VIVA!$N$34,[1]VIVA!$N$34:$N$34,1,FALSE)</f>
        <v>#N/A</v>
      </c>
    </row>
  </sheetData>
  <sheetProtection algorithmName="SHA-512" hashValue="orC4CtK0g4I0KiXtn4VTfoZ6wPcjYfsYJv9QUijh/WqcTvaUgpjEOV1+XVEd89uJRp2dNZ0h12gMLofs7U6t0Q==" saltValue="WDWcY3jqAgEgWxN2jbp+lg==" spinCount="100000" sheet="1" selectLockedCells="1"/>
  <mergeCells count="4">
    <mergeCell ref="D2:G2"/>
    <mergeCell ref="D3:G3"/>
    <mergeCell ref="D4:G4"/>
    <mergeCell ref="D6:G6"/>
  </mergeCells>
  <conditionalFormatting sqref="D5:G5 D2:G3">
    <cfRule type="expression" dxfId="6" priority="1">
      <formula>FIND("IM",#REF!)</formula>
    </cfRule>
    <cfRule type="expression" dxfId="5" priority="2">
      <formula>FIND("CS",#REF!)</formula>
    </cfRule>
    <cfRule type="expression" dxfId="4" priority="3">
      <formula>FIND("ISE",#REF!)</formula>
    </cfRule>
    <cfRule type="expression" dxfId="3" priority="4">
      <formula>FIND("CSN",#REF!)</formula>
    </cfRule>
    <cfRule type="expression" dxfId="2" priority="5">
      <formula>FIND("DS",#REF!)</formula>
    </cfRule>
    <cfRule type="expression" dxfId="1" priority="6">
      <formula>FIND("IT",#REF!)</formula>
    </cfRule>
    <cfRule type="expression" dxfId="0" priority="7">
      <formula>FIND("SE",#REF!)</formula>
    </cfRule>
  </conditionalFormatting>
  <dataValidations count="1">
    <dataValidation type="list" allowBlank="1" showInputMessage="1" showErrorMessage="1" sqref="D4" xr:uid="{F12B8913-C19A-4CAD-847E-20A13D9640A0}">
      <formula1>"Select,SE,IT,DS,CSN,ISE,CS,IM"</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D2C76CD229CDD4285A19EEDA46A2A94" ma:contentTypeVersion="13" ma:contentTypeDescription="Create a new document." ma:contentTypeScope="" ma:versionID="82e70f973760d71ce5f1e502bb013d03">
  <xsd:schema xmlns:xsd="http://www.w3.org/2001/XMLSchema" xmlns:xs="http://www.w3.org/2001/XMLSchema" xmlns:p="http://schemas.microsoft.com/office/2006/metadata/properties" xmlns:ns2="4da6588c-a52b-4d0b-8663-93e0f7ef87c0" xmlns:ns3="db72c12f-87a4-44ab-bbc5-4cc8306b158a" targetNamespace="http://schemas.microsoft.com/office/2006/metadata/properties" ma:root="true" ma:fieldsID="4d1e6b93f11312e598310e1d6362e66b" ns2:_="" ns3:_="">
    <xsd:import namespace="4da6588c-a52b-4d0b-8663-93e0f7ef87c0"/>
    <xsd:import namespace="db72c12f-87a4-44ab-bbc5-4cc8306b158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a6588c-a52b-4d0b-8663-93e0f7ef87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c8a686f-bba2-44f2-819b-edf0b3003fbd"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b72c12f-87a4-44ab-bbc5-4cc8306b158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a90b710-f748-4220-b362-4102ae550bf9}" ma:internalName="TaxCatchAll" ma:showField="CatchAllData" ma:web="db72c12f-87a4-44ab-bbc5-4cc8306b158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da6588c-a52b-4d0b-8663-93e0f7ef87c0">
      <Terms xmlns="http://schemas.microsoft.com/office/infopath/2007/PartnerControls"/>
    </lcf76f155ced4ddcb4097134ff3c332f>
    <TaxCatchAll xmlns="db72c12f-87a4-44ab-bbc5-4cc8306b158a" xsi:nil="true"/>
  </documentManagement>
</p:properties>
</file>

<file path=customXml/itemProps1.xml><?xml version="1.0" encoding="utf-8"?>
<ds:datastoreItem xmlns:ds="http://schemas.openxmlformats.org/officeDocument/2006/customXml" ds:itemID="{CCE3352C-2A81-4923-9982-6B806BCBCDA9}">
  <ds:schemaRefs>
    <ds:schemaRef ds:uri="http://schemas.microsoft.com/sharepoint/v3/contenttype/forms"/>
  </ds:schemaRefs>
</ds:datastoreItem>
</file>

<file path=customXml/itemProps2.xml><?xml version="1.0" encoding="utf-8"?>
<ds:datastoreItem xmlns:ds="http://schemas.openxmlformats.org/officeDocument/2006/customXml" ds:itemID="{2F604FA3-7430-4A85-9B1E-59E10422BC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a6588c-a52b-4d0b-8663-93e0f7ef87c0"/>
    <ds:schemaRef ds:uri="db72c12f-87a4-44ab-bbc5-4cc8306b15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FC6CA6-01EB-4C89-9649-BD9531AE8E07}">
  <ds:schemaRefs>
    <ds:schemaRef ds:uri="http://www.w3.org/XML/1998/namespace"/>
    <ds:schemaRef ds:uri="http://purl.org/dc/terms/"/>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purl.org/dc/elements/1.1/"/>
    <ds:schemaRef ds:uri="http://schemas.microsoft.com/office/infopath/2007/PartnerControls"/>
    <ds:schemaRef ds:uri="db72c12f-87a4-44ab-bbc5-4cc8306b158a"/>
    <ds:schemaRef ds:uri="4da6588c-a52b-4d0b-8663-93e0f7ef87c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Pro_Presentation</vt:lpstr>
      <vt:lpstr>Prog_Presentation_1</vt:lpstr>
      <vt:lpstr>Prog_Presentation_2</vt:lpstr>
      <vt:lpstr>Final_Presentation</vt:lpstr>
      <vt:lpstr>Final_Viva</vt:lpstr>
      <vt:lpstr>Final_Presentation!North_Budget</vt:lpstr>
      <vt:lpstr>Final_Viva!North_Budget</vt:lpstr>
      <vt:lpstr>Pro_Presentation!North_Budget</vt:lpstr>
      <vt:lpstr>Prog_Presentation_1!North_Budget</vt:lpstr>
      <vt:lpstr>Prog_Presentation_2!North_Budget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Dr. Dasuni Nawinna</dc:creator>
  <cp:keywords/>
  <dc:description/>
  <cp:lastModifiedBy>Cheshani Peiris</cp:lastModifiedBy>
  <cp:revision/>
  <dcterms:created xsi:type="dcterms:W3CDTF">2020-04-28T03:29:05Z</dcterms:created>
  <dcterms:modified xsi:type="dcterms:W3CDTF">2025-02-17T08:27:52Z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0x0101007D2C76CD229CDD4285A19EEDA46A2A94</vt:lpwstr>
  </property>
  <property fmtid="{D5CDD505-2E9C-101B-9397-08002B2CF9AE}" pid="3" name="MediaServiceImageTags">
    <vt:lpwstr/>
  </property>
</Properties>
</file>